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leiman\Documents\RCHCloud\Finance1\Invoices\1. Templates\"/>
    </mc:Choice>
  </mc:AlternateContent>
  <xr:revisionPtr revIDLastSave="0" documentId="13_ncr:1_{5A2EF7DA-3623-4F04-9C37-6F2BC77CE573}" xr6:coauthVersionLast="47" xr6:coauthVersionMax="47" xr10:uidLastSave="{00000000-0000-0000-0000-000000000000}"/>
  <bookViews>
    <workbookView xWindow="22932" yWindow="-108" windowWidth="23256" windowHeight="12456" firstSheet="1" activeTab="1" xr2:uid="{0344552C-6126-4B87-A0E9-788EAD49FB25}"/>
  </bookViews>
  <sheets>
    <sheet name="Invoice" sheetId="3" state="hidden" r:id="rId1"/>
    <sheet name="RAPID Invoice" sheetId="5" r:id="rId2"/>
    <sheet name="Sheet1" sheetId="1" state="hidden" r:id="rId3"/>
    <sheet name="Sheet4" sheetId="4" state="hidden" r:id="rId4"/>
  </sheets>
  <functionGroups builtInGroupCount="19"/>
  <definedNames>
    <definedName name="_xlnm.Print_Area" localSheetId="0">Invoice!$B$2:$M$43</definedName>
    <definedName name="_xlnm.Print_Area" localSheetId="1">'RAPID Invoice'!$A$1:$D$37</definedName>
    <definedName name="_xlnm.Print_Area" localSheetId="2">Sheet1!$B$2:$I$32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6" i="5" l="1"/>
  <c r="D15" i="5"/>
  <c r="D17" i="5" s="1"/>
  <c r="C9" i="5"/>
  <c r="C11" i="5" s="1"/>
  <c r="A17" i="5" a="1"/>
  <c r="A17" i="5" l="1"/>
  <c r="M12" i="3"/>
  <c r="I17" i="3" l="1"/>
  <c r="B11" i="3"/>
  <c r="L11" i="3" l="1"/>
  <c r="L13" i="3" s="1"/>
  <c r="B17" i="3"/>
  <c r="G17" i="3" s="1"/>
  <c r="H5" i="4"/>
  <c r="I5" i="4" s="1"/>
  <c r="I8" i="4" s="1"/>
  <c r="B5" i="4"/>
  <c r="K17" i="3" l="1"/>
  <c r="I16" i="3"/>
  <c r="B16" i="3"/>
  <c r="C9" i="1" l="1"/>
  <c r="H14" i="1"/>
  <c r="I14" i="1" s="1"/>
  <c r="I17" i="1" s="1"/>
  <c r="K16" i="3"/>
  <c r="K19" i="3" s="1"/>
  <c r="B14" i="1"/>
  <c r="C19" i="3" a="1"/>
  <c r="C19" i="3" l="1"/>
  <c r="C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<sst xmlns="http://schemas.openxmlformats.org/spreadsheetml/2006/main" count="97" uniqueCount="49">
  <si>
    <t>TO:</t>
  </si>
  <si>
    <t>DOHA, QATAR</t>
  </si>
  <si>
    <t>Description</t>
  </si>
  <si>
    <t>Government Fees</t>
  </si>
  <si>
    <t>Professional Fees</t>
  </si>
  <si>
    <t>Total (QAR)</t>
  </si>
  <si>
    <t>INVOICE</t>
  </si>
  <si>
    <t>DATE:</t>
  </si>
  <si>
    <t>REF#</t>
  </si>
  <si>
    <t>INV/RCH/</t>
  </si>
  <si>
    <t>IN WORDS</t>
  </si>
  <si>
    <t>THREE THOUSAND QAR ONLY</t>
  </si>
  <si>
    <t>Kindly make your payment transfer using the following details:</t>
  </si>
  <si>
    <t>Note:</t>
  </si>
  <si>
    <t>b) All payments received are non-refundable</t>
  </si>
  <si>
    <t>a) Bank transfer charges are to be borne by the client</t>
  </si>
  <si>
    <t>DUE:</t>
  </si>
  <si>
    <t>Account Number:</t>
  </si>
  <si>
    <t>Account Name:</t>
  </si>
  <si>
    <t>Bank Name:</t>
  </si>
  <si>
    <t>IBAN Number:</t>
  </si>
  <si>
    <t>Bank Address:</t>
  </si>
  <si>
    <t>Qatar National Bank</t>
  </si>
  <si>
    <t xml:space="preserve">Rapid Clearing House </t>
  </si>
  <si>
    <t>QA77QNBA000000000260076385001</t>
  </si>
  <si>
    <t>Swift Code:</t>
  </si>
  <si>
    <t>QNBAQAQAXXX</t>
  </si>
  <si>
    <t>Corniche Road Doha, Qatar</t>
  </si>
  <si>
    <t>REF.</t>
  </si>
  <si>
    <t>`</t>
  </si>
  <si>
    <t>Start</t>
  </si>
  <si>
    <t>Plus</t>
  </si>
  <si>
    <t xml:space="preserve">    INVOICE</t>
  </si>
  <si>
    <t>Date          :</t>
  </si>
  <si>
    <t>Doha, Qatar</t>
  </si>
  <si>
    <t>Ref. No.    :</t>
  </si>
  <si>
    <t xml:space="preserve"> </t>
  </si>
  <si>
    <t>Due Date  :</t>
  </si>
  <si>
    <t>Total
(QAR)</t>
  </si>
  <si>
    <t xml:space="preserve">  Notes : a)  Bank transfer charges to be borne by the client.</t>
  </si>
  <si>
    <t xml:space="preserve">               b)  All Payments received are NON-REFUNDABLE.</t>
  </si>
  <si>
    <t>INV/2025/8558</t>
  </si>
  <si>
    <t>Govt
Fees</t>
  </si>
  <si>
    <t>Prof
Fees</t>
  </si>
  <si>
    <t>CLIENT NAME</t>
  </si>
  <si>
    <t>1) QID Renewal for Suleiman Mussa on 10.03.2026</t>
  </si>
  <si>
    <t>2) Work Visa for Arlene Delfino on 08.03.2026</t>
  </si>
  <si>
    <t>Al Rawabi St.,  Zone 24, Bldg. 16,  2nd Floor, Muntazah Area, Doha, P.O. Box 12788   /   T +974 4464 9507    F +974 4478 2523   /    www.rch.qa</t>
  </si>
  <si>
    <t>RCH Business Solution WLL Company established under the Laws of Qatar, CR no. 109455 with capital of 30,000 QAR fully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</si>
</sst>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yy;@"/>
    <numFmt numFmtId="165" formatCode="[$QAR]\ #,##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b/>
      <sz val="26"/>
      <color theme="1"/>
      <name val="Verdana"/>
      <family val="2"/>
    </font>
    <font>
      <sz val="11"/>
      <color theme="1" tint="4.9989318521683403E-2"/>
      <name val="Verdana"/>
      <family val="2"/>
    </font>
    <font>
      <i/>
      <sz val="9"/>
      <color theme="1"/>
      <name val="Verdana"/>
      <family val="2"/>
    </font>
    <font>
      <i/>
      <sz val="11"/>
      <color theme="1"/>
      <name val="Verdana"/>
      <family val="2"/>
    </font>
    <font>
      <sz val="14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6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i/>
      <sz val="9"/>
      <color theme="1"/>
      <name val="Calibri"/>
      <family val="2"/>
    </font>
    <font>
      <sz val="11"/>
      <color theme="1" tint="4.9989318521683403E-2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24"/>
      <color theme="1" tint="4.9989318521683403E-2"/>
      <name val="Verdana"/>
      <family val="2"/>
    </font>
    <font>
      <sz val="10"/>
      <color theme="1" tint="4.9989318521683403E-2"/>
      <name val="Arial"/>
      <family val="2"/>
    </font>
    <font>
      <b/>
      <sz val="15"/>
      <color rgb="FF0D0D0D"/>
      <name val="Calibri"/>
      <family val="2"/>
    </font>
    <font>
      <sz val="14"/>
      <name val="Calibri"/>
      <family val="2"/>
      <scheme val="minor"/>
    </font>
    <font>
      <b/>
      <sz val="15"/>
      <color theme="1" tint="4.9989318521683403E-2"/>
      <name val="Calibri"/>
      <family val="2"/>
    </font>
    <font>
      <sz val="13"/>
      <color theme="1" tint="4.9989318521683403E-2"/>
      <name val="Arial"/>
      <family val="2"/>
    </font>
    <font>
      <sz val="12"/>
      <name val="Arial"/>
      <family val="2"/>
    </font>
    <font>
      <sz val="12"/>
      <color theme="1" tint="4.9989318521683403E-2"/>
      <name val="Arial"/>
      <family val="2"/>
    </font>
    <font>
      <b/>
      <sz val="13"/>
      <name val="Calibri"/>
      <family val="2"/>
    </font>
    <font>
      <sz val="13"/>
      <name val="Calibri"/>
      <family val="2"/>
    </font>
    <font>
      <b/>
      <sz val="11"/>
      <color theme="1" tint="4.9989318521683403E-2"/>
      <name val="Arial"/>
      <family val="2"/>
    </font>
    <font>
      <sz val="14"/>
      <color theme="1" tint="4.9989318521683403E-2"/>
      <name val="Arial"/>
      <family val="2"/>
    </font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55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b/>
      <sz val="8"/>
      <color indexed="55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0" fillId="0" borderId="0"/>
    <xf numFmtId="43" fontId="31" fillId="0" borderId="0" applyFont="0" applyFill="0" applyBorder="0" applyAlignment="0" applyProtection="0"/>
    <xf numFmtId="0" fontId="32" fillId="0" borderId="0"/>
    <xf numFmtId="0" fontId="31" fillId="0" borderId="0"/>
    <xf numFmtId="0" fontId="1" fillId="0" borderId="0"/>
    <xf numFmtId="43" fontId="31" fillId="0" borderId="0" applyFont="0" applyFill="0" applyBorder="0" applyAlignment="0" applyProtection="0"/>
    <xf numFmtId="0" fontId="32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32" fillId="0" borderId="0" applyFont="0" applyFill="0" applyBorder="0" applyAlignment="0" applyProtection="0"/>
    <xf numFmtId="0" fontId="1" fillId="0" borderId="0"/>
  </cellStyleXfs>
  <cellXfs count="10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left" wrapText="1"/>
    </xf>
    <xf numFmtId="3" fontId="2" fillId="0" borderId="1" xfId="1" applyNumberFormat="1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165" fontId="3" fillId="0" borderId="7" xfId="1" applyNumberFormat="1" applyFont="1" applyBorder="1" applyAlignment="1">
      <alignment horizontal="center" vertical="center"/>
    </xf>
    <xf numFmtId="3" fontId="2" fillId="0" borderId="8" xfId="1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top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0" xfId="0" applyFont="1" applyAlignment="1">
      <alignment horizontal="left" vertical="center" readingOrder="1"/>
    </xf>
    <xf numFmtId="1" fontId="8" fillId="0" borderId="0" xfId="0" applyNumberFormat="1" applyFont="1" applyAlignment="1">
      <alignment horizontal="left" vertical="center" readingOrder="1"/>
    </xf>
    <xf numFmtId="3" fontId="2" fillId="0" borderId="9" xfId="1" applyNumberFormat="1" applyFont="1" applyBorder="1" applyAlignment="1">
      <alignment horizontal="center" vertical="center"/>
    </xf>
    <xf numFmtId="0" fontId="2" fillId="0" borderId="0" xfId="0" applyFont="1" applyFill="1"/>
    <xf numFmtId="164" fontId="2" fillId="0" borderId="0" xfId="0" applyNumberFormat="1" applyFont="1" applyFill="1" applyAlignment="1"/>
    <xf numFmtId="0" fontId="10" fillId="0" borderId="0" xfId="0" applyFont="1" applyFill="1"/>
    <xf numFmtId="14" fontId="10" fillId="0" borderId="0" xfId="0" applyNumberFormat="1" applyFont="1" applyFill="1" applyAlignment="1">
      <alignment horizontal="left"/>
    </xf>
    <xf numFmtId="0" fontId="10" fillId="0" borderId="0" xfId="0" applyFont="1" applyFill="1" applyAlignment="1">
      <alignment horizontal="left" vertical="top"/>
    </xf>
    <xf numFmtId="0" fontId="12" fillId="0" borderId="0" xfId="0" applyFont="1" applyFill="1" applyAlignment="1">
      <alignment horizontal="left"/>
    </xf>
    <xf numFmtId="0" fontId="10" fillId="0" borderId="0" xfId="0" applyFont="1" applyFill="1" applyAlignment="1"/>
    <xf numFmtId="0" fontId="13" fillId="0" borderId="0" xfId="0" applyFont="1" applyFill="1" applyAlignment="1">
      <alignment horizontal="left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Alignment="1">
      <alignment horizontal="right" vertical="top"/>
    </xf>
    <xf numFmtId="0" fontId="14" fillId="0" borderId="2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vertical="top"/>
    </xf>
    <xf numFmtId="0" fontId="15" fillId="0" borderId="0" xfId="0" applyFont="1" applyFill="1" applyAlignment="1">
      <alignment horizontal="left" vertical="top"/>
    </xf>
    <xf numFmtId="0" fontId="16" fillId="0" borderId="0" xfId="0" applyFont="1" applyFill="1" applyAlignment="1">
      <alignment horizontal="left" vertical="center" readingOrder="1"/>
    </xf>
    <xf numFmtId="0" fontId="17" fillId="0" borderId="0" xfId="0" applyFont="1" applyFill="1"/>
    <xf numFmtId="0" fontId="10" fillId="0" borderId="0" xfId="0" applyFont="1" applyFill="1" applyAlignment="1">
      <alignment horizontal="right"/>
    </xf>
    <xf numFmtId="0" fontId="10" fillId="0" borderId="0" xfId="0" applyFont="1"/>
    <xf numFmtId="14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vertical="top"/>
    </xf>
    <xf numFmtId="0" fontId="19" fillId="0" borderId="0" xfId="0" applyFont="1"/>
    <xf numFmtId="0" fontId="20" fillId="0" borderId="0" xfId="0" applyFont="1" applyAlignment="1">
      <alignment wrapText="1"/>
    </xf>
    <xf numFmtId="0" fontId="21" fillId="0" borderId="0" xfId="0" applyFont="1" applyAlignment="1">
      <alignment horizontal="left"/>
    </xf>
    <xf numFmtId="0" fontId="9" fillId="0" borderId="0" xfId="0" applyFont="1"/>
    <xf numFmtId="0" fontId="22" fillId="0" borderId="0" xfId="0" applyFont="1" applyAlignment="1">
      <alignment horizontal="left"/>
    </xf>
    <xf numFmtId="0" fontId="22" fillId="0" borderId="0" xfId="0" applyFont="1"/>
    <xf numFmtId="0" fontId="23" fillId="0" borderId="0" xfId="0" applyFont="1"/>
    <xf numFmtId="164" fontId="24" fillId="0" borderId="0" xfId="0" applyNumberFormat="1" applyFont="1" applyAlignment="1">
      <alignment horizontal="left"/>
    </xf>
    <xf numFmtId="0" fontId="25" fillId="0" borderId="0" xfId="0" applyFont="1"/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horizontal="left"/>
    </xf>
    <xf numFmtId="0" fontId="34" fillId="0" borderId="0" xfId="2" applyFont="1" applyAlignment="1">
      <alignment horizontal="center"/>
    </xf>
    <xf numFmtId="0" fontId="34" fillId="0" borderId="0" xfId="2" applyFont="1" applyAlignment="1">
      <alignment vertical="top"/>
    </xf>
    <xf numFmtId="0" fontId="33" fillId="0" borderId="0" xfId="2" applyFont="1" applyBorder="1" applyAlignment="1">
      <alignment vertical="center"/>
    </xf>
    <xf numFmtId="0" fontId="34" fillId="0" borderId="0" xfId="2" applyFont="1" applyBorder="1" applyAlignment="1">
      <alignment vertical="top"/>
    </xf>
    <xf numFmtId="0" fontId="29" fillId="0" borderId="0" xfId="0" applyFont="1" applyBorder="1"/>
    <xf numFmtId="0" fontId="19" fillId="0" borderId="0" xfId="0" applyFont="1" applyBorder="1"/>
    <xf numFmtId="3" fontId="26" fillId="0" borderId="1" xfId="0" applyNumberFormat="1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3" fontId="27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left" vertical="center" wrapText="1" indent="1"/>
    </xf>
    <xf numFmtId="3" fontId="10" fillId="0" borderId="1" xfId="1" applyNumberFormat="1" applyFont="1" applyFill="1" applyBorder="1" applyAlignment="1">
      <alignment horizontal="center" vertical="center"/>
    </xf>
    <xf numFmtId="3" fontId="13" fillId="0" borderId="1" xfId="1" applyNumberFormat="1" applyFont="1" applyFill="1" applyBorder="1" applyAlignment="1">
      <alignment horizontal="center" vertical="center"/>
    </xf>
    <xf numFmtId="164" fontId="17" fillId="0" borderId="0" xfId="0" applyNumberFormat="1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13" fillId="0" borderId="2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 wrapText="1"/>
    </xf>
    <xf numFmtId="3" fontId="10" fillId="0" borderId="2" xfId="1" applyNumberFormat="1" applyFont="1" applyFill="1" applyBorder="1" applyAlignment="1">
      <alignment horizontal="center" vertical="center"/>
    </xf>
    <xf numFmtId="3" fontId="10" fillId="0" borderId="4" xfId="1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left" vertical="center" readingOrder="1"/>
    </xf>
    <xf numFmtId="0" fontId="13" fillId="0" borderId="2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left" vertical="center" wrapText="1" indent="1"/>
    </xf>
    <xf numFmtId="0" fontId="10" fillId="0" borderId="3" xfId="0" applyFont="1" applyFill="1" applyBorder="1" applyAlignment="1">
      <alignment horizontal="left" vertical="center" wrapText="1" indent="1"/>
    </xf>
    <xf numFmtId="0" fontId="10" fillId="0" borderId="4" xfId="0" applyFont="1" applyFill="1" applyBorder="1" applyAlignment="1">
      <alignment horizontal="left" vertical="center" wrapText="1" indent="1"/>
    </xf>
    <xf numFmtId="0" fontId="10" fillId="0" borderId="2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1" fontId="16" fillId="0" borderId="0" xfId="0" applyNumberFormat="1" applyFont="1" applyFill="1" applyAlignment="1">
      <alignment horizontal="left" vertical="center" readingOrder="1"/>
    </xf>
    <xf numFmtId="0" fontId="18" fillId="0" borderId="0" xfId="0" applyFont="1" applyAlignment="1">
      <alignment horizontal="center"/>
    </xf>
    <xf numFmtId="0" fontId="26" fillId="0" borderId="1" xfId="0" applyFont="1" applyBorder="1" applyAlignment="1">
      <alignment horizontal="center" vertical="center" wrapText="1"/>
    </xf>
    <xf numFmtId="164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35" fillId="0" borderId="10" xfId="2" applyFont="1" applyBorder="1" applyAlignment="1">
      <alignment horizontal="center" vertical="center"/>
    </xf>
    <xf numFmtId="0" fontId="36" fillId="0" borderId="11" xfId="2" applyFont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164" fontId="2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 indent="2"/>
    </xf>
    <xf numFmtId="0" fontId="2" fillId="0" borderId="3" xfId="0" applyFont="1" applyBorder="1" applyAlignment="1">
      <alignment horizontal="left" vertical="center" wrapText="1" indent="2"/>
    </xf>
    <xf numFmtId="0" fontId="2" fillId="0" borderId="5" xfId="0" applyFont="1" applyBorder="1" applyAlignment="1">
      <alignment horizontal="left" vertical="center" wrapText="1" indent="1"/>
    </xf>
    <xf numFmtId="0" fontId="2" fillId="0" borderId="0" xfId="0" applyFont="1" applyBorder="1" applyAlignment="1">
      <alignment horizontal="left" vertical="center" wrapText="1" indent="1"/>
    </xf>
    <xf numFmtId="0" fontId="2" fillId="0" borderId="2" xfId="0" applyFont="1" applyBorder="1" applyAlignment="1">
      <alignment horizontal="left" vertical="center" wrapText="1" indent="1"/>
    </xf>
    <xf numFmtId="0" fontId="2" fillId="0" borderId="3" xfId="0" applyFont="1" applyBorder="1" applyAlignment="1">
      <alignment horizontal="left" vertical="center" wrapText="1" indent="1"/>
    </xf>
    <xf numFmtId="0" fontId="2" fillId="0" borderId="0" xfId="0" applyFont="1" applyAlignment="1">
      <alignment horizontal="left"/>
    </xf>
  </cellXfs>
  <cellStyles count="21">
    <cellStyle name="Comma" xfId="1" builtinId="3"/>
    <cellStyle name="Comma 2" xfId="7" xr:uid="{639C64AC-0043-485C-9745-31C3E4F75B1E}"/>
    <cellStyle name="Comma 3" xfId="3" xr:uid="{932E597D-AEF7-484C-9749-3CD26C1A4D3B}"/>
    <cellStyle name="Currency 2" xfId="19" xr:uid="{9A1FD37D-95F2-465F-8D63-8C34180339E8}"/>
    <cellStyle name="Normal" xfId="0" builtinId="0"/>
    <cellStyle name="Normal 10" xfId="2" xr:uid="{6D568995-B06A-4A6D-A376-6205354D9C2C}"/>
    <cellStyle name="Normal 2" xfId="5" xr:uid="{79494A76-E7F2-423B-9CC4-07943BCAF545}"/>
    <cellStyle name="Normal 3" xfId="8" xr:uid="{E1F640EC-C65C-4D34-A452-F5DBFD475639}"/>
    <cellStyle name="Normal 4" xfId="6" xr:uid="{3BCDDB58-810A-40C0-B299-A6E40AA99517}"/>
    <cellStyle name="Normal 4 2" xfId="14" xr:uid="{2A93113D-5741-44CD-BD4F-347C5287B84F}"/>
    <cellStyle name="Normal 5" xfId="9" xr:uid="{839CD332-76EF-42EC-BD66-209A227BE42F}"/>
    <cellStyle name="Normal 5 2" xfId="15" xr:uid="{56B48923-B79B-46F2-BB9D-59A3A5352B01}"/>
    <cellStyle name="Normal 6" xfId="10" xr:uid="{6EEEA3FC-0739-4863-8C8A-FF6DE99D754C}"/>
    <cellStyle name="Normal 6 2" xfId="16" xr:uid="{FDC805EE-C78F-41A9-8CD8-EE1C2CE7345E}"/>
    <cellStyle name="Normal 7" xfId="12" xr:uid="{6BC4F14A-5A42-47E4-B266-E43F2A3C79CB}"/>
    <cellStyle name="Normal 7 2" xfId="17" xr:uid="{715A9273-F8D3-4F17-BAE9-9628002AAA83}"/>
    <cellStyle name="Normal 8" xfId="13" xr:uid="{D1CADF4F-32A6-42FF-A50D-CC120E5D5FDE}"/>
    <cellStyle name="Normal 8 2" xfId="18" xr:uid="{B21FC641-0098-4957-8DA4-77D35EC31112}"/>
    <cellStyle name="Normal 9" xfId="4" xr:uid="{3FA4E7E5-38E1-435A-BA2E-19E0E73350D8}"/>
    <cellStyle name="Normal 9 2" xfId="20" xr:uid="{D43CB398-EBFE-4E9E-97AC-3AFC027E8460}"/>
    <cellStyle name="Percent 2" xfId="11" xr:uid="{6F31A26E-E4C7-4ABC-8006-2EF2A48A9D8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</xdr:colOff>
      <xdr:row>0</xdr:row>
      <xdr:rowOff>73025</xdr:rowOff>
    </xdr:from>
    <xdr:to>
      <xdr:col>5</xdr:col>
      <xdr:colOff>486743</xdr:colOff>
      <xdr:row>6</xdr:row>
      <xdr:rowOff>122037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4E785-CEE3-49B3-834B-E9C61491C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625" y="73025"/>
          <a:ext cx="3110634" cy="1133521"/>
        </a:xfrm>
        <a:prstGeom prst="rect">
          <a:avLst/>
        </a:prstGeom>
      </xdr:spPr>
    </xdr:pic>
    <xdr:clientData/>
  </xdr:twoCellAnchor>
  <xdr:twoCellAnchor editAs="oneCell">
    <xdr:from>
      <xdr:col>7</xdr:col>
      <xdr:colOff>133034</xdr:colOff>
      <xdr:row>30</xdr:row>
      <xdr:rowOff>115799</xdr:rowOff>
    </xdr:from>
    <xdr:to>
      <xdr:col>12</xdr:col>
      <xdr:colOff>112429</xdr:colOff>
      <xdr:row>40</xdr:row>
      <xdr:rowOff>20557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8B58B13-C16F-440D-BE63-890AA652C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9859" y="7735799"/>
          <a:ext cx="2379695" cy="1809758"/>
        </a:xfrm>
        <a:prstGeom prst="rect">
          <a:avLst/>
        </a:prstGeom>
      </xdr:spPr>
    </xdr:pic>
    <xdr:clientData/>
  </xdr:twoCellAnchor>
  <xdr:twoCellAnchor editAs="oneCell">
    <xdr:from>
      <xdr:col>0</xdr:col>
      <xdr:colOff>629894</xdr:colOff>
      <xdr:row>31</xdr:row>
      <xdr:rowOff>57978</xdr:rowOff>
    </xdr:from>
    <xdr:to>
      <xdr:col>5</xdr:col>
      <xdr:colOff>896716</xdr:colOff>
      <xdr:row>34</xdr:row>
      <xdr:rowOff>115957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05E3170-56DF-488D-8D93-D91EFAB80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894" y="7702826"/>
          <a:ext cx="3577144" cy="604631"/>
        </a:xfrm>
        <a:prstGeom prst="rect">
          <a:avLst/>
        </a:prstGeom>
      </xdr:spPr>
    </xdr:pic>
    <xdr:clientData/>
  </xdr:twoCellAnchor>
  <xdr:twoCellAnchor editAs="oneCell">
    <xdr:from>
      <xdr:col>1</xdr:col>
      <xdr:colOff>47211</xdr:colOff>
      <xdr:row>40</xdr:row>
      <xdr:rowOff>28575</xdr:rowOff>
    </xdr:from>
    <xdr:to>
      <xdr:col>12</xdr:col>
      <xdr:colOff>204952</xdr:colOff>
      <xdr:row>42</xdr:row>
      <xdr:rowOff>159530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8384652-1CB4-4217-82ED-A09B1F916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011" y="9553575"/>
          <a:ext cx="6949066" cy="5119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12682</xdr:colOff>
      <xdr:row>1</xdr:row>
      <xdr:rowOff>143485</xdr:rowOff>
    </xdr:from>
    <xdr:to>
      <xdr:col>0</xdr:col>
      <xdr:colOff>2919622</xdr:colOff>
      <xdr:row>6</xdr:row>
      <xdr:rowOff>44197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DDDFD81-6596-4EC2-86E9-41891AECB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82" y="328542"/>
          <a:ext cx="2900681" cy="802618"/>
        </a:xfrm>
        <a:prstGeom prst="rect">
          <a:avLst/>
        </a:prstGeom>
      </xdr:spPr>
    </xdr:pic>
    <xdr:clientData/>
  </xdr:twoCellAnchor>
  <xdr:twoCellAnchor editAs="oneCell">
    <xdr:from>
      <xdr:col>0</xdr:col>
      <xdr:colOff>125919</xdr:colOff>
      <xdr:row>30</xdr:row>
      <xdr:rowOff>138609</xdr:rowOff>
    </xdr:from>
    <xdr:to>
      <xdr:col>1</xdr:col>
      <xdr:colOff>274613</xdr:colOff>
      <xdr:row>34</xdr:row>
      <xdr:rowOff>38322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5EE6ADB-C168-4761-B0B4-0E33838F9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919" y="8073667"/>
          <a:ext cx="4438754" cy="808251"/>
        </a:xfrm>
        <a:prstGeom prst="rect">
          <a:avLst/>
        </a:prstGeom>
      </xdr:spPr>
    </xdr:pic>
    <xdr:clientData/>
  </xdr:twoCellAnchor>
  <xdr:twoCellAnchor editAs="oneCell">
    <xdr:from>
      <xdr:col>1</xdr:col>
      <xdr:colOff>529298</xdr:colOff>
      <xdr:row>27</xdr:row>
      <xdr:rowOff>31130</xdr:rowOff>
    </xdr:from>
    <xdr:to>
      <xdr:col>3</xdr:col>
      <xdr:colOff>749628</xdr:colOff>
      <xdr:row>34</xdr:row>
      <xdr:rowOff>117451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C8C9669-BC0A-4110-9F28-BB182C575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944" y="7358053"/>
          <a:ext cx="2041510" cy="1659118"/>
        </a:xfrm>
        <a:prstGeom prst="rect">
          <a:avLst/>
        </a:prstGeom>
      </xdr:spPr>
    </xdr:pic>
    <xdr:clientData/>
  </xdr:twoCellAnchor>
  <xdr:twoCellAnchor>
    <xdr:from>
      <xdr:col>0</xdr:col>
      <xdr:colOff>35169</xdr:colOff>
      <xdr:row>20</xdr:row>
      <xdr:rowOff>87922</xdr:rowOff>
    </xdr:from>
    <xdr:to>
      <xdr:col>2</xdr:col>
      <xdr:colOff>352091</xdr:colOff>
      <xdr:row>27</xdr:row>
      <xdr:rowOff>149902</xdr:rowOff>
    </xdr:to>
    <xdr:sp macro="" textlink="">
      <xdr:nvSpPr>
        <xdr:cNvPr id="8" name="Text Box 4">
          <a:extLst>
            <a:ext uri="{FF2B5EF4-FFF2-40B4-BE49-F238E27FC236}">
              <a16:creationId xmlns:a16="http://schemas.microsoft.com/office/drawing/2014/main" id="{B80999C0-D17D-4DEF-8C21-D08E91DFE56A}"/>
            </a:ext>
          </a:extLst>
        </xdr:cNvPr>
        <xdr:cNvSpPr txBox="1">
          <a:spLocks noChangeArrowheads="1"/>
        </xdr:cNvSpPr>
      </xdr:nvSpPr>
      <xdr:spPr bwMode="auto">
        <a:xfrm>
          <a:off x="35169" y="6019799"/>
          <a:ext cx="5521968" cy="1457026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Bank Name                  :    Qatar National Bank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Account Name             :    RCH Business Solution W.L.L.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Account Number          :    0250-195255-001 QAR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IBAN	               :    QA64QNBA000000000250195255001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Swift Code                   :    QNBAQAQAXXX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Bank Address              :    Salwa Corporate Branch, Salwa Rd., PO Box 1000,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                                  Doha, Qatar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215900</xdr:colOff>
      <xdr:row>0</xdr:row>
      <xdr:rowOff>431800</xdr:rowOff>
    </xdr:from>
    <xdr:to>
      <xdr:col>4</xdr:col>
      <xdr:colOff>1297709</xdr:colOff>
      <xdr:row>4</xdr:row>
      <xdr:rowOff>44496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FE68F3-33A1-4229-8B8A-B3BA024F2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900" y="431800"/>
          <a:ext cx="3120159" cy="1143046"/>
        </a:xfrm>
        <a:prstGeom prst="rect">
          <a:avLst/>
        </a:prstGeom>
      </xdr:spPr>
    </xdr:pic>
    <xdr:clientData/>
  </xdr:twoCellAnchor>
  <xdr:twoCellAnchor editAs="oneCell">
    <xdr:from>
      <xdr:col>6</xdr:col>
      <xdr:colOff>456979</xdr:colOff>
      <xdr:row>24</xdr:row>
      <xdr:rowOff>28575</xdr:rowOff>
    </xdr:from>
    <xdr:to>
      <xdr:col>9</xdr:col>
      <xdr:colOff>12468</xdr:colOff>
      <xdr:row>31</xdr:row>
      <xdr:rowOff>85830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F65CBB-0695-4272-897F-E56FD4F13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704" y="8705850"/>
          <a:ext cx="2724139" cy="2035280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29</xdr:row>
      <xdr:rowOff>190500</xdr:rowOff>
    </xdr:from>
    <xdr:to>
      <xdr:col>6</xdr:col>
      <xdr:colOff>20873</xdr:colOff>
      <xdr:row>30</xdr:row>
      <xdr:rowOff>430652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603C9B4-0FF4-4218-B728-471071A77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9972675"/>
          <a:ext cx="4015023" cy="675127"/>
        </a:xfrm>
        <a:prstGeom prst="rect">
          <a:avLst/>
        </a:prstGeom>
      </xdr:spPr>
    </xdr:pic>
    <xdr:clientData/>
  </xdr:twoCellAnchor>
  <xdr:twoCellAnchor editAs="oneCell">
    <xdr:from>
      <xdr:col>1</xdr:col>
      <xdr:colOff>15875</xdr:colOff>
      <xdr:row>31</xdr:row>
      <xdr:rowOff>25400</xdr:rowOff>
    </xdr:from>
    <xdr:to>
      <xdr:col>9</xdr:col>
      <xdr:colOff>83081</xdr:colOff>
      <xdr:row>32</xdr:row>
      <xdr:rowOff>134091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3441544-99EE-4AF0-B228-EAE0A86E1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4000" y="10683875"/>
          <a:ext cx="7347481" cy="5468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409354</xdr:colOff>
      <xdr:row>18</xdr:row>
      <xdr:rowOff>25400</xdr:rowOff>
    </xdr:from>
    <xdr:to>
      <xdr:col>12</xdr:col>
      <xdr:colOff>85493</xdr:colOff>
      <xdr:row>29</xdr:row>
      <xdr:rowOff>149330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CB5DB5-26AB-4702-A5D0-3C267F687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554" y="3959225"/>
          <a:ext cx="2724139" cy="2114655"/>
        </a:xfrm>
        <a:prstGeom prst="rect">
          <a:avLst/>
        </a:prstGeom>
      </xdr:spPr>
    </xdr:pic>
    <xdr:clientData/>
  </xdr:twoCellAnchor>
  <xdr:twoCellAnchor editAs="oneCell">
    <xdr:from>
      <xdr:col>1</xdr:col>
      <xdr:colOff>111125</xdr:colOff>
      <xdr:row>20</xdr:row>
      <xdr:rowOff>190500</xdr:rowOff>
    </xdr:from>
    <xdr:to>
      <xdr:col>7</xdr:col>
      <xdr:colOff>468548</xdr:colOff>
      <xdr:row>24</xdr:row>
      <xdr:rowOff>132202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10495FE-F772-43C9-A7D3-C32A5830B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8220075"/>
          <a:ext cx="4015023" cy="675127"/>
        </a:xfrm>
        <a:prstGeom prst="rect">
          <a:avLst/>
        </a:prstGeom>
      </xdr:spPr>
    </xdr:pic>
    <xdr:clientData/>
  </xdr:twoCellAnchor>
  <xdr:twoCellAnchor editAs="oneCell">
    <xdr:from>
      <xdr:col>0</xdr:col>
      <xdr:colOff>149225</xdr:colOff>
      <xdr:row>30</xdr:row>
      <xdr:rowOff>9525</xdr:rowOff>
    </xdr:from>
    <xdr:to>
      <xdr:col>12</xdr:col>
      <xdr:colOff>181506</xdr:colOff>
      <xdr:row>33</xdr:row>
      <xdr:rowOff>7091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B551-033B-490E-9A38-299088F39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25" y="6115050"/>
          <a:ext cx="7347481" cy="5404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1C44F-1FB7-4527-BB14-4028DAFB8145}">
  <sheetPr codeName="Sheet1">
    <pageSetUpPr fitToPage="1"/>
  </sheetPr>
  <dimension ref="B3:P31"/>
  <sheetViews>
    <sheetView view="pageBreakPreview" topLeftCell="A4" zoomScaleNormal="100" zoomScaleSheetLayoutView="100" workbookViewId="0">
      <selection activeCell="B16" sqref="B16:F16"/>
    </sheetView>
  </sheetViews>
  <sheetFormatPr defaultColWidth="8.7109375" defaultRowHeight="15" x14ac:dyDescent="0.25"/>
  <cols>
    <col min="1" max="1" width="9.7109375" style="1" customWidth="1"/>
    <col min="2" max="2" width="8.42578125" style="38" customWidth="1"/>
    <col min="3" max="4" width="9.7109375" style="38" customWidth="1"/>
    <col min="5" max="5" width="9.85546875" style="38" customWidth="1"/>
    <col min="6" max="6" width="17.85546875" style="38" customWidth="1"/>
    <col min="7" max="10" width="6.42578125" style="38" customWidth="1"/>
    <col min="11" max="11" width="5.42578125" style="38" customWidth="1"/>
    <col min="12" max="12" width="9.140625" style="1" customWidth="1"/>
    <col min="13" max="13" width="5.28515625" style="1" customWidth="1"/>
    <col min="14" max="16384" width="8.7109375" style="1"/>
  </cols>
  <sheetData>
    <row r="3" spans="2:16" x14ac:dyDescent="0.25">
      <c r="B3" s="24"/>
      <c r="C3" s="24"/>
      <c r="D3" s="24"/>
      <c r="E3" s="24"/>
      <c r="F3" s="24"/>
      <c r="G3" s="24"/>
      <c r="H3" s="24"/>
      <c r="I3" s="24"/>
      <c r="J3" s="24"/>
      <c r="K3" s="24"/>
      <c r="L3" s="22"/>
    </row>
    <row r="4" spans="2:16" x14ac:dyDescent="0.25">
      <c r="B4" s="24"/>
      <c r="C4" s="24"/>
      <c r="D4" s="24"/>
      <c r="E4" s="24"/>
      <c r="F4" s="24"/>
      <c r="G4" s="24"/>
      <c r="H4" s="24"/>
      <c r="I4" s="24"/>
      <c r="J4" s="24"/>
      <c r="K4" s="24"/>
      <c r="L4" s="22"/>
    </row>
    <row r="5" spans="2:16" x14ac:dyDescent="0.25">
      <c r="B5" s="24"/>
      <c r="C5" s="24"/>
      <c r="D5" s="24"/>
      <c r="E5" s="24"/>
      <c r="F5" s="24"/>
      <c r="G5" s="24"/>
      <c r="H5" s="24"/>
      <c r="I5" s="24"/>
      <c r="J5" s="24"/>
      <c r="K5" s="24"/>
      <c r="L5" s="22"/>
    </row>
    <row r="6" spans="2:16" x14ac:dyDescent="0.25">
      <c r="B6" s="24"/>
      <c r="C6" s="24"/>
      <c r="D6" s="24"/>
      <c r="E6" s="24"/>
      <c r="F6" s="24"/>
      <c r="G6" s="24"/>
      <c r="H6" s="24"/>
      <c r="I6" s="24"/>
      <c r="J6" s="24"/>
      <c r="K6" s="24"/>
      <c r="L6" s="22"/>
    </row>
    <row r="7" spans="2:16" x14ac:dyDescent="0.25">
      <c r="B7" s="24"/>
      <c r="C7" s="24"/>
      <c r="D7" s="24"/>
      <c r="E7" s="24"/>
      <c r="F7" s="24"/>
      <c r="G7" s="24"/>
      <c r="H7" s="24"/>
      <c r="I7" s="24"/>
      <c r="J7" s="24"/>
      <c r="K7" s="24"/>
      <c r="L7" s="22"/>
    </row>
    <row r="8" spans="2:16" ht="33.75" x14ac:dyDescent="0.5">
      <c r="B8" s="67" t="s">
        <v>6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</row>
    <row r="9" spans="2:16" x14ac:dyDescent="0.25">
      <c r="B9" s="24"/>
      <c r="C9" s="24"/>
      <c r="D9" s="24"/>
      <c r="E9" s="25"/>
      <c r="F9" s="25"/>
      <c r="G9" s="24"/>
      <c r="H9" s="24"/>
      <c r="I9" s="24"/>
      <c r="J9" s="24"/>
      <c r="K9" s="24"/>
      <c r="L9" s="23"/>
    </row>
    <row r="10" spans="2:16" x14ac:dyDescent="0.25">
      <c r="B10" s="24"/>
      <c r="C10" s="24"/>
      <c r="D10" s="24"/>
      <c r="E10" s="26"/>
      <c r="F10" s="26"/>
      <c r="G10" s="24"/>
      <c r="H10" s="24"/>
      <c r="I10" s="24"/>
      <c r="J10" s="24"/>
      <c r="K10" s="24"/>
      <c r="L10" s="22"/>
      <c r="O10" s="1" t="s">
        <v>30</v>
      </c>
      <c r="P10" s="1">
        <v>7776</v>
      </c>
    </row>
    <row r="11" spans="2:16" ht="18.75" x14ac:dyDescent="0.3">
      <c r="B11" s="27" t="e">
        <f>VLOOKUP(M12,#REF!,3)</f>
        <v>#REF!</v>
      </c>
      <c r="C11" s="24"/>
      <c r="D11" s="24"/>
      <c r="E11" s="26"/>
      <c r="F11" s="26"/>
      <c r="G11" s="24"/>
      <c r="H11" s="24"/>
      <c r="K11" s="39" t="s">
        <v>7</v>
      </c>
      <c r="L11" s="66" t="e">
        <f>VLOOKUP(M12,#REF!,2)</f>
        <v>#REF!</v>
      </c>
      <c r="M11" s="66"/>
      <c r="O11" s="1" t="s">
        <v>31</v>
      </c>
      <c r="P11" s="1">
        <v>5</v>
      </c>
    </row>
    <row r="12" spans="2:16" ht="15.75" x14ac:dyDescent="0.25">
      <c r="B12" s="29" t="s">
        <v>1</v>
      </c>
      <c r="D12" s="28"/>
      <c r="E12" s="28"/>
      <c r="F12" s="28"/>
      <c r="G12" s="28"/>
      <c r="H12" s="28"/>
      <c r="K12" s="40" t="s">
        <v>28</v>
      </c>
      <c r="L12" s="41" t="s">
        <v>9</v>
      </c>
      <c r="M12" s="41">
        <f>P10+P11</f>
        <v>7781</v>
      </c>
    </row>
    <row r="13" spans="2:16" ht="15.75" x14ac:dyDescent="0.25">
      <c r="D13" s="30"/>
      <c r="E13" s="30"/>
      <c r="F13" s="30"/>
      <c r="G13" s="30"/>
      <c r="H13" s="30"/>
      <c r="K13" s="40" t="s">
        <v>16</v>
      </c>
      <c r="L13" s="66" t="e">
        <f>L11+7</f>
        <v>#REF!</v>
      </c>
      <c r="M13" s="66"/>
    </row>
    <row r="14" spans="2:16" x14ac:dyDescent="0.25">
      <c r="B14" s="31"/>
      <c r="C14" s="26"/>
      <c r="D14" s="26"/>
      <c r="E14" s="26"/>
      <c r="F14" s="26"/>
      <c r="G14" s="24"/>
      <c r="H14" s="24"/>
      <c r="I14" s="24"/>
      <c r="J14" s="24"/>
      <c r="K14" s="37"/>
      <c r="L14" s="22"/>
    </row>
    <row r="15" spans="2:16" ht="41.45" customHeight="1" x14ac:dyDescent="0.2">
      <c r="B15" s="74" t="s">
        <v>2</v>
      </c>
      <c r="C15" s="75"/>
      <c r="D15" s="75"/>
      <c r="E15" s="75"/>
      <c r="F15" s="76"/>
      <c r="G15" s="68" t="s">
        <v>3</v>
      </c>
      <c r="H15" s="69"/>
      <c r="I15" s="68" t="s">
        <v>4</v>
      </c>
      <c r="J15" s="69"/>
      <c r="K15" s="72" t="s">
        <v>5</v>
      </c>
      <c r="L15" s="72"/>
      <c r="M15" s="72"/>
    </row>
    <row r="16" spans="2:16" ht="47.1" customHeight="1" x14ac:dyDescent="0.2">
      <c r="B16" s="77" t="e">
        <f>VLOOKUP(M12,#REF!,4)</f>
        <v>#REF!</v>
      </c>
      <c r="C16" s="78"/>
      <c r="D16" s="78"/>
      <c r="E16" s="78"/>
      <c r="F16" s="79"/>
      <c r="G16" s="70">
        <v>0</v>
      </c>
      <c r="H16" s="71"/>
      <c r="I16" s="70" t="e">
        <f>VLOOKUP(M12,#REF!,5)</f>
        <v>#REF!</v>
      </c>
      <c r="J16" s="71"/>
      <c r="K16" s="64" t="e">
        <f>SUM(G16:I16)</f>
        <v>#REF!</v>
      </c>
      <c r="L16" s="64"/>
      <c r="M16" s="64"/>
    </row>
    <row r="17" spans="2:13" ht="39.950000000000003" customHeight="1" x14ac:dyDescent="0.2">
      <c r="B17" s="77" t="e">
        <f>IF(VLOOKUP(M12,#REF!,7,FALSE)="","",VLOOKUP(M12,#REF!,7,FALSE))</f>
        <v>#REF!</v>
      </c>
      <c r="C17" s="78"/>
      <c r="D17" s="78"/>
      <c r="E17" s="78"/>
      <c r="F17" s="79"/>
      <c r="G17" s="70" t="e">
        <f>IF(B17="","",0)</f>
        <v>#REF!</v>
      </c>
      <c r="H17" s="71"/>
      <c r="I17" s="70" t="e">
        <f>IF(VLOOKUP(M12,#REF!,8,FALSE)="","",VLOOKUP(M12,#REF!,8,FALSE))</f>
        <v>#REF!</v>
      </c>
      <c r="J17" s="71"/>
      <c r="K17" s="64" t="e">
        <f>IF(B17="","",G17+I17)</f>
        <v>#REF!</v>
      </c>
      <c r="L17" s="64"/>
      <c r="M17" s="64"/>
    </row>
    <row r="18" spans="2:13" ht="39.950000000000003" customHeight="1" x14ac:dyDescent="0.2">
      <c r="B18" s="80"/>
      <c r="C18" s="81"/>
      <c r="D18" s="81"/>
      <c r="E18" s="81"/>
      <c r="F18" s="82"/>
      <c r="G18" s="70"/>
      <c r="H18" s="71"/>
      <c r="I18" s="70"/>
      <c r="J18" s="71"/>
      <c r="K18" s="64"/>
      <c r="L18" s="64"/>
      <c r="M18" s="64"/>
    </row>
    <row r="19" spans="2:13" ht="29.45" customHeight="1" x14ac:dyDescent="0.2">
      <c r="B19" s="32" t="s">
        <v>10</v>
      </c>
      <c r="C19" s="75" t="str" cm="1">
        <f t="array" ref="C19">NumberToWords(K19)</f>
        <v>#VALUE!</v>
      </c>
      <c r="D19" s="75"/>
      <c r="E19" s="75"/>
      <c r="F19" s="75"/>
      <c r="G19" s="75"/>
      <c r="H19" s="75"/>
      <c r="I19" s="75"/>
      <c r="J19" s="76"/>
      <c r="K19" s="65" t="e">
        <f>SUM(K16:M18)</f>
        <v>#REF!</v>
      </c>
      <c r="L19" s="65"/>
      <c r="M19" s="65"/>
    </row>
    <row r="20" spans="2:13" x14ac:dyDescent="0.25"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2"/>
    </row>
    <row r="21" spans="2:13" x14ac:dyDescent="0.25">
      <c r="B21" s="33" t="s">
        <v>12</v>
      </c>
      <c r="C21" s="33"/>
      <c r="D21" s="33"/>
      <c r="E21" s="33"/>
      <c r="F21" s="33"/>
      <c r="G21" s="33"/>
      <c r="H21" s="34"/>
      <c r="I21" s="24"/>
      <c r="J21" s="24"/>
      <c r="K21" s="24"/>
      <c r="L21" s="22"/>
    </row>
    <row r="22" spans="2:13" x14ac:dyDescent="0.25"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2"/>
    </row>
    <row r="23" spans="2:13" ht="15.75" x14ac:dyDescent="0.25">
      <c r="B23" s="35" t="s">
        <v>19</v>
      </c>
      <c r="C23" s="36"/>
      <c r="D23" s="36"/>
      <c r="E23" s="73" t="s">
        <v>22</v>
      </c>
      <c r="F23" s="73"/>
      <c r="G23" s="73"/>
      <c r="H23" s="73"/>
      <c r="I23" s="73"/>
      <c r="J23" s="24"/>
      <c r="K23" s="24"/>
      <c r="L23" s="22"/>
    </row>
    <row r="24" spans="2:13" ht="15.75" x14ac:dyDescent="0.25">
      <c r="B24" s="35" t="s">
        <v>18</v>
      </c>
      <c r="C24" s="36"/>
      <c r="D24" s="36"/>
      <c r="E24" s="73" t="s">
        <v>23</v>
      </c>
      <c r="F24" s="73"/>
      <c r="G24" s="73"/>
      <c r="H24" s="73"/>
      <c r="I24" s="73"/>
      <c r="J24" s="24"/>
      <c r="K24" s="24"/>
      <c r="L24" s="22"/>
    </row>
    <row r="25" spans="2:13" ht="15.75" x14ac:dyDescent="0.25">
      <c r="B25" s="35" t="s">
        <v>17</v>
      </c>
      <c r="C25" s="36"/>
      <c r="D25" s="36"/>
      <c r="E25" s="83">
        <v>260076385001</v>
      </c>
      <c r="F25" s="83"/>
      <c r="G25" s="83"/>
      <c r="H25" s="83"/>
      <c r="I25" s="83"/>
      <c r="J25" s="24"/>
      <c r="K25" s="24"/>
      <c r="L25" s="22"/>
    </row>
    <row r="26" spans="2:13" ht="15.75" x14ac:dyDescent="0.25">
      <c r="B26" s="35" t="s">
        <v>20</v>
      </c>
      <c r="C26" s="36"/>
      <c r="D26" s="36"/>
      <c r="E26" s="73" t="s">
        <v>24</v>
      </c>
      <c r="F26" s="73"/>
      <c r="G26" s="73"/>
      <c r="H26" s="73"/>
      <c r="I26" s="73"/>
      <c r="J26" s="24"/>
      <c r="K26" s="24"/>
      <c r="L26" s="22"/>
    </row>
    <row r="27" spans="2:13" ht="15.75" x14ac:dyDescent="0.25">
      <c r="B27" s="35" t="s">
        <v>25</v>
      </c>
      <c r="C27" s="36"/>
      <c r="D27" s="36"/>
      <c r="E27" s="73" t="s">
        <v>26</v>
      </c>
      <c r="F27" s="73"/>
      <c r="G27" s="73"/>
      <c r="H27" s="73"/>
      <c r="I27" s="73"/>
      <c r="J27" s="24"/>
      <c r="K27" s="24"/>
      <c r="L27" s="22"/>
    </row>
    <row r="28" spans="2:13" ht="15.75" x14ac:dyDescent="0.25">
      <c r="B28" s="35" t="s">
        <v>21</v>
      </c>
      <c r="C28" s="36"/>
      <c r="D28" s="36"/>
      <c r="E28" s="73" t="s">
        <v>27</v>
      </c>
      <c r="F28" s="73"/>
      <c r="G28" s="73"/>
      <c r="H28" s="73"/>
      <c r="I28" s="73"/>
      <c r="J28" s="24"/>
      <c r="K28" s="24"/>
      <c r="L28" s="22" t="s">
        <v>29</v>
      </c>
    </row>
    <row r="29" spans="2:13" x14ac:dyDescent="0.25"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2"/>
    </row>
    <row r="30" spans="2:13" x14ac:dyDescent="0.25">
      <c r="B30" s="37" t="s">
        <v>13</v>
      </c>
      <c r="C30" s="24" t="s">
        <v>15</v>
      </c>
      <c r="D30" s="24"/>
      <c r="E30" s="24"/>
      <c r="F30" s="24"/>
      <c r="G30" s="24"/>
      <c r="H30" s="24"/>
      <c r="I30" s="24"/>
      <c r="J30" s="24"/>
      <c r="K30" s="24"/>
      <c r="L30" s="22"/>
    </row>
    <row r="31" spans="2:13" x14ac:dyDescent="0.25">
      <c r="C31" s="38" t="s">
        <v>14</v>
      </c>
    </row>
  </sheetData>
  <mergeCells count="27">
    <mergeCell ref="E27:I27"/>
    <mergeCell ref="E28:I28"/>
    <mergeCell ref="B15:F15"/>
    <mergeCell ref="I18:J18"/>
    <mergeCell ref="C19:J19"/>
    <mergeCell ref="B16:F16"/>
    <mergeCell ref="B17:F17"/>
    <mergeCell ref="B18:F18"/>
    <mergeCell ref="G15:H15"/>
    <mergeCell ref="G16:H16"/>
    <mergeCell ref="G17:H17"/>
    <mergeCell ref="G18:H18"/>
    <mergeCell ref="E23:I23"/>
    <mergeCell ref="E24:I24"/>
    <mergeCell ref="E25:I25"/>
    <mergeCell ref="E26:I26"/>
    <mergeCell ref="K18:M18"/>
    <mergeCell ref="K19:M19"/>
    <mergeCell ref="L11:M11"/>
    <mergeCell ref="L13:M13"/>
    <mergeCell ref="B8:M8"/>
    <mergeCell ref="I15:J15"/>
    <mergeCell ref="I16:J16"/>
    <mergeCell ref="I17:J17"/>
    <mergeCell ref="K15:M15"/>
    <mergeCell ref="K16:M16"/>
    <mergeCell ref="K17:M17"/>
  </mergeCells>
  <printOptions horizontalCentered="1"/>
  <pageMargins left="0.25" right="0.25" top="0.75" bottom="0.75" header="0.3" footer="0.3"/>
  <pageSetup scale="9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E7DE8-2EE8-45E6-ACB9-1AE95A051914}">
  <sheetPr codeName="Sheet5">
    <pageSetUpPr fitToPage="1"/>
  </sheetPr>
  <dimension ref="A7:H37"/>
  <sheetViews>
    <sheetView tabSelected="1" view="pageBreakPreview" topLeftCell="A7" zoomScale="130" zoomScaleNormal="120" zoomScaleSheetLayoutView="130" workbookViewId="0">
      <selection activeCell="E10" sqref="E10"/>
    </sheetView>
  </sheetViews>
  <sheetFormatPr defaultRowHeight="15" x14ac:dyDescent="0.25"/>
  <cols>
    <col min="1" max="1" width="64.28515625" customWidth="1"/>
    <col min="2" max="4" width="13.7109375" customWidth="1"/>
  </cols>
  <sheetData>
    <row r="7" spans="1:4" ht="57.95" customHeight="1" x14ac:dyDescent="0.35">
      <c r="A7" s="84" t="s">
        <v>32</v>
      </c>
      <c r="B7" s="84"/>
      <c r="C7" s="84"/>
      <c r="D7" s="84"/>
    </row>
    <row r="8" spans="1:4" ht="21.95" customHeight="1" x14ac:dyDescent="0.25">
      <c r="A8" s="42"/>
      <c r="B8" s="42"/>
      <c r="C8" s="42"/>
      <c r="D8" s="42"/>
    </row>
    <row r="9" spans="1:4" s="45" customFormat="1" ht="19.5" x14ac:dyDescent="0.3">
      <c r="A9" s="43" t="s">
        <v>44</v>
      </c>
      <c r="B9" s="44" t="s">
        <v>33</v>
      </c>
      <c r="C9" s="86">
        <f ca="1">TODAY()</f>
        <v>46091</v>
      </c>
      <c r="D9" s="86"/>
    </row>
    <row r="10" spans="1:4" ht="21" customHeight="1" x14ac:dyDescent="0.3">
      <c r="A10" s="43" t="s">
        <v>34</v>
      </c>
      <c r="B10" s="44" t="s">
        <v>35</v>
      </c>
      <c r="C10" s="87" t="s">
        <v>41</v>
      </c>
      <c r="D10" s="87"/>
    </row>
    <row r="11" spans="1:4" ht="19.5" x14ac:dyDescent="0.3">
      <c r="A11" s="46" t="s">
        <v>36</v>
      </c>
      <c r="B11" s="44" t="s">
        <v>37</v>
      </c>
      <c r="C11" s="86">
        <f ca="1">C9+7</f>
        <v>46098</v>
      </c>
      <c r="D11" s="86"/>
    </row>
    <row r="12" spans="1:4" ht="18" customHeight="1" x14ac:dyDescent="0.3">
      <c r="A12" s="47"/>
      <c r="B12" s="48"/>
      <c r="C12" s="49"/>
      <c r="D12" s="48"/>
    </row>
    <row r="13" spans="1:4" ht="15.6" customHeight="1" x14ac:dyDescent="0.25">
      <c r="A13" s="50"/>
      <c r="B13" s="50"/>
      <c r="C13" s="50"/>
      <c r="D13" s="42"/>
    </row>
    <row r="14" spans="1:4" ht="36" customHeight="1" x14ac:dyDescent="0.25">
      <c r="A14" s="61" t="s">
        <v>2</v>
      </c>
      <c r="B14" s="61" t="s">
        <v>42</v>
      </c>
      <c r="C14" s="61" t="s">
        <v>43</v>
      </c>
      <c r="D14" s="61" t="s">
        <v>38</v>
      </c>
    </row>
    <row r="15" spans="1:4" s="45" customFormat="1" ht="42" customHeight="1" x14ac:dyDescent="0.25">
      <c r="A15" s="63" t="s">
        <v>45</v>
      </c>
      <c r="B15" s="62">
        <v>1220</v>
      </c>
      <c r="C15" s="62">
        <v>200</v>
      </c>
      <c r="D15" s="62">
        <f>SUM(B15:C15)</f>
        <v>1420</v>
      </c>
    </row>
    <row r="16" spans="1:4" s="45" customFormat="1" ht="42" customHeight="1" x14ac:dyDescent="0.25">
      <c r="A16" s="63" t="s">
        <v>46</v>
      </c>
      <c r="B16" s="62">
        <v>300</v>
      </c>
      <c r="C16" s="62">
        <v>200</v>
      </c>
      <c r="D16" s="62">
        <f>SUM(B16:C16)</f>
        <v>500</v>
      </c>
    </row>
    <row r="17" spans="1:4" s="45" customFormat="1" ht="39" customHeight="1" x14ac:dyDescent="0.25">
      <c r="A17" s="85" t="str" cm="1">
        <f t="array" ref="A17">NumberToWords(D17)</f>
        <v>One Thousand Nine Hundred Twenty QAR</v>
      </c>
      <c r="B17" s="85"/>
      <c r="C17" s="85"/>
      <c r="D17" s="60">
        <f>SUM(D14:D16)</f>
        <v>1920</v>
      </c>
    </row>
    <row r="18" spans="1:4" ht="11.45" customHeight="1" x14ac:dyDescent="0.25">
      <c r="A18" s="50"/>
      <c r="B18" s="50"/>
      <c r="C18" s="50"/>
      <c r="D18" s="42"/>
    </row>
    <row r="19" spans="1:4" ht="15.75" x14ac:dyDescent="0.25">
      <c r="A19" s="50"/>
      <c r="B19" s="50"/>
      <c r="C19" s="50"/>
      <c r="D19" s="42"/>
    </row>
    <row r="20" spans="1:4" ht="15.75" x14ac:dyDescent="0.25">
      <c r="A20" s="50" t="s">
        <v>12</v>
      </c>
      <c r="B20" s="50"/>
      <c r="C20" s="50"/>
      <c r="D20" s="42"/>
    </row>
    <row r="21" spans="1:4" ht="15.75" x14ac:dyDescent="0.25">
      <c r="A21" s="50"/>
      <c r="B21" s="50"/>
      <c r="C21" s="50"/>
      <c r="D21" s="42"/>
    </row>
    <row r="22" spans="1:4" ht="15.75" x14ac:dyDescent="0.25">
      <c r="A22" s="50"/>
      <c r="B22" s="50"/>
      <c r="C22" s="50"/>
      <c r="D22" s="42"/>
    </row>
    <row r="23" spans="1:4" ht="15.75" x14ac:dyDescent="0.25">
      <c r="A23" s="50"/>
      <c r="B23" s="50"/>
      <c r="C23" s="50"/>
      <c r="D23" s="42"/>
    </row>
    <row r="24" spans="1:4" ht="15.75" x14ac:dyDescent="0.25">
      <c r="A24" s="50"/>
      <c r="B24" s="50"/>
      <c r="C24" s="50"/>
      <c r="D24" s="42"/>
    </row>
    <row r="25" spans="1:4" ht="15.75" x14ac:dyDescent="0.25">
      <c r="A25" s="50"/>
      <c r="B25" s="50"/>
      <c r="C25" s="50"/>
      <c r="D25" s="42"/>
    </row>
    <row r="26" spans="1:4" ht="15.75" x14ac:dyDescent="0.25">
      <c r="A26" s="50"/>
      <c r="B26" s="50"/>
      <c r="C26" s="50"/>
      <c r="D26" s="42"/>
    </row>
    <row r="27" spans="1:4" ht="15.75" x14ac:dyDescent="0.25">
      <c r="A27" s="50"/>
      <c r="B27" s="50"/>
      <c r="C27" s="50"/>
      <c r="D27" s="42"/>
    </row>
    <row r="28" spans="1:4" ht="15.75" x14ac:dyDescent="0.25">
      <c r="A28" s="50"/>
      <c r="B28" s="50"/>
      <c r="C28" s="50"/>
      <c r="D28" s="42"/>
    </row>
    <row r="29" spans="1:4" ht="18" x14ac:dyDescent="0.25">
      <c r="A29" s="51" t="s">
        <v>39</v>
      </c>
      <c r="B29" s="52"/>
      <c r="C29" s="52"/>
      <c r="D29" s="42"/>
    </row>
    <row r="30" spans="1:4" ht="18" x14ac:dyDescent="0.25">
      <c r="A30" s="53" t="s">
        <v>40</v>
      </c>
      <c r="B30" s="52"/>
      <c r="C30" s="52"/>
      <c r="D30" s="42"/>
    </row>
    <row r="31" spans="1:4" ht="18" x14ac:dyDescent="0.25">
      <c r="A31" s="52"/>
      <c r="B31" s="52"/>
      <c r="C31" s="52"/>
      <c r="D31" s="42"/>
    </row>
    <row r="32" spans="1:4" ht="18" x14ac:dyDescent="0.25">
      <c r="A32" s="52"/>
      <c r="B32" s="52"/>
      <c r="C32" s="52"/>
      <c r="D32" s="42"/>
    </row>
    <row r="33" spans="1:8" ht="18" x14ac:dyDescent="0.25">
      <c r="A33" s="52"/>
      <c r="B33" s="52"/>
      <c r="C33" s="52"/>
      <c r="D33" s="42"/>
    </row>
    <row r="34" spans="1:8" ht="18" x14ac:dyDescent="0.25">
      <c r="A34" s="52"/>
      <c r="B34" s="52"/>
      <c r="C34" s="52"/>
      <c r="D34" s="42"/>
    </row>
    <row r="35" spans="1:8" ht="18.95" customHeight="1" x14ac:dyDescent="0.25">
      <c r="A35" s="58"/>
      <c r="B35" s="58"/>
      <c r="C35" s="58"/>
      <c r="D35" s="59"/>
    </row>
    <row r="36" spans="1:8" ht="14.1" customHeight="1" thickBot="1" x14ac:dyDescent="0.3">
      <c r="A36" s="88" t="s">
        <v>47</v>
      </c>
      <c r="B36" s="88"/>
      <c r="C36" s="88"/>
      <c r="D36" s="88"/>
      <c r="E36" s="56"/>
      <c r="F36" s="56"/>
      <c r="G36" s="56"/>
      <c r="H36" s="54"/>
    </row>
    <row r="37" spans="1:8" x14ac:dyDescent="0.25">
      <c r="A37" s="89" t="s">
        <v>48</v>
      </c>
      <c r="B37" s="89"/>
      <c r="C37" s="89"/>
      <c r="D37" s="89"/>
      <c r="E37" s="57"/>
      <c r="F37" s="57"/>
      <c r="G37" s="57"/>
      <c r="H37" s="55"/>
    </row>
  </sheetData>
  <mergeCells count="7">
    <mergeCell ref="A36:D36"/>
    <mergeCell ref="A37:D37"/>
    <mergeCell ref="A7:D7"/>
    <mergeCell ref="A17:C17"/>
    <mergeCell ref="C9:D9"/>
    <mergeCell ref="C11:D11"/>
    <mergeCell ref="C10:D10"/>
  </mergeCells>
  <printOptions horizontalCentered="1"/>
  <pageMargins left="0" right="0" top="0.17" bottom="0.196850393700787" header="0.17" footer="0.31496062992126"/>
  <pageSetup paperSize="9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F8886-1EAD-4D3C-A7A8-9BBB8F446B6E}">
  <sheetPr codeName="Sheet3">
    <pageSetUpPr fitToPage="1"/>
  </sheetPr>
  <dimension ref="B3:I29"/>
  <sheetViews>
    <sheetView topLeftCell="A28" zoomScaleNormal="100" workbookViewId="0">
      <selection activeCell="B17" sqref="B17:F17"/>
    </sheetView>
  </sheetViews>
  <sheetFormatPr defaultColWidth="8.7109375" defaultRowHeight="34.5" customHeight="1" x14ac:dyDescent="0.2"/>
  <cols>
    <col min="1" max="1" width="3.42578125" style="1" customWidth="1"/>
    <col min="2" max="2" width="7.85546875" style="1" customWidth="1"/>
    <col min="3" max="3" width="10.140625" style="1" customWidth="1"/>
    <col min="4" max="4" width="7.5703125" style="1" customWidth="1"/>
    <col min="5" max="5" width="24.5703125" style="1" customWidth="1"/>
    <col min="6" max="6" width="8.28515625" style="1" customWidth="1"/>
    <col min="7" max="8" width="15.5703125" style="1" customWidth="1"/>
    <col min="9" max="9" width="14" style="1" customWidth="1"/>
    <col min="10" max="16384" width="8.7109375" style="1"/>
  </cols>
  <sheetData>
    <row r="3" spans="2:9" ht="28.5" customHeight="1" x14ac:dyDescent="0.2"/>
    <row r="4" spans="2:9" ht="21.6" customHeight="1" x14ac:dyDescent="0.2"/>
    <row r="5" spans="2:9" ht="34.5" customHeight="1" x14ac:dyDescent="0.4">
      <c r="B5" s="90" t="s">
        <v>6</v>
      </c>
      <c r="C5" s="90"/>
      <c r="D5" s="90"/>
      <c r="E5" s="90"/>
      <c r="F5" s="90"/>
      <c r="G5" s="90"/>
      <c r="H5" s="90"/>
      <c r="I5" s="90"/>
    </row>
    <row r="6" spans="2:9" ht="3" customHeight="1" x14ac:dyDescent="0.2">
      <c r="B6" s="5"/>
      <c r="C6" s="2"/>
      <c r="D6" s="2"/>
      <c r="E6" s="2"/>
      <c r="F6" s="2"/>
      <c r="G6" s="3"/>
    </row>
    <row r="7" spans="2:9" ht="21" customHeight="1" x14ac:dyDescent="0.2">
      <c r="B7" s="7" t="s">
        <v>7</v>
      </c>
      <c r="C7" s="93">
        <v>45848</v>
      </c>
      <c r="D7" s="93"/>
      <c r="E7" s="7"/>
      <c r="F7" s="7"/>
    </row>
    <row r="8" spans="2:9" ht="14.45" customHeight="1" x14ac:dyDescent="0.2">
      <c r="B8" s="5" t="s">
        <v>8</v>
      </c>
      <c r="C8" s="6" t="s">
        <v>9</v>
      </c>
      <c r="D8" s="6">
        <v>7717</v>
      </c>
      <c r="E8" s="6"/>
      <c r="F8" s="6"/>
    </row>
    <row r="9" spans="2:9" ht="14.45" customHeight="1" x14ac:dyDescent="0.2">
      <c r="B9" s="15" t="s">
        <v>16</v>
      </c>
      <c r="C9" s="93">
        <f>C7+7</f>
        <v>45855</v>
      </c>
      <c r="D9" s="93"/>
      <c r="E9" s="16"/>
      <c r="F9" s="16"/>
    </row>
    <row r="10" spans="2:9" ht="28.5" customHeight="1" x14ac:dyDescent="0.2">
      <c r="B10" s="9" t="s">
        <v>0</v>
      </c>
      <c r="C10" s="103" t="e">
        <f>VLOOKUP(D8,#REF!,2)</f>
        <v>#REF!</v>
      </c>
      <c r="D10" s="103"/>
      <c r="E10" s="103"/>
      <c r="F10" s="103"/>
      <c r="G10" s="103"/>
      <c r="H10" s="103"/>
      <c r="I10" s="103"/>
    </row>
    <row r="11" spans="2:9" ht="16.5" customHeight="1" x14ac:dyDescent="0.2">
      <c r="B11" s="5"/>
      <c r="C11" s="92" t="s">
        <v>1</v>
      </c>
      <c r="D11" s="92"/>
      <c r="E11" s="92"/>
      <c r="F11" s="92"/>
      <c r="G11" s="92"/>
      <c r="H11" s="3"/>
      <c r="I11" s="3"/>
    </row>
    <row r="12" spans="2:9" ht="13.5" customHeight="1" x14ac:dyDescent="0.2">
      <c r="B12" s="8"/>
      <c r="C12" s="6"/>
      <c r="D12" s="6"/>
      <c r="E12" s="6"/>
      <c r="F12" s="6"/>
    </row>
    <row r="13" spans="2:9" ht="34.5" customHeight="1" x14ac:dyDescent="0.2">
      <c r="B13" s="94" t="s">
        <v>2</v>
      </c>
      <c r="C13" s="94"/>
      <c r="D13" s="94"/>
      <c r="E13" s="94"/>
      <c r="F13" s="94"/>
      <c r="G13" s="4" t="s">
        <v>3</v>
      </c>
      <c r="H13" s="4" t="s">
        <v>4</v>
      </c>
      <c r="I13" s="4" t="s">
        <v>5</v>
      </c>
    </row>
    <row r="14" spans="2:9" ht="34.5" customHeight="1" x14ac:dyDescent="0.2">
      <c r="B14" s="97" t="e">
        <f>VLOOKUP(D8,#REF!,3)</f>
        <v>#REF!</v>
      </c>
      <c r="C14" s="98"/>
      <c r="D14" s="98"/>
      <c r="E14" s="98"/>
      <c r="F14" s="17"/>
      <c r="G14" s="10">
        <v>0</v>
      </c>
      <c r="H14" s="10" t="e">
        <f>VLOOKUP(D8,#REF!,4)</f>
        <v>#REF!</v>
      </c>
      <c r="I14" s="10" t="e">
        <f>SUM(G14:H14)</f>
        <v>#REF!</v>
      </c>
    </row>
    <row r="15" spans="2:9" ht="34.5" customHeight="1" x14ac:dyDescent="0.2">
      <c r="B15" s="99"/>
      <c r="C15" s="100"/>
      <c r="D15" s="100"/>
      <c r="E15" s="100"/>
      <c r="F15" s="18"/>
      <c r="G15" s="21"/>
      <c r="H15" s="21"/>
      <c r="I15" s="10"/>
    </row>
    <row r="16" spans="2:9" ht="34.5" customHeight="1" x14ac:dyDescent="0.2">
      <c r="B16" s="101"/>
      <c r="C16" s="102"/>
      <c r="D16" s="102"/>
      <c r="E16" s="102"/>
      <c r="F16" s="17"/>
      <c r="G16" s="13"/>
      <c r="H16" s="13"/>
      <c r="I16" s="10"/>
    </row>
    <row r="17" spans="2:9" ht="29.45" customHeight="1" x14ac:dyDescent="0.2">
      <c r="B17" s="14" t="s">
        <v>10</v>
      </c>
      <c r="C17" s="95" t="s">
        <v>11</v>
      </c>
      <c r="D17" s="95"/>
      <c r="E17" s="95"/>
      <c r="F17" s="95"/>
      <c r="G17" s="95"/>
      <c r="H17" s="96"/>
      <c r="I17" s="12" t="e">
        <f>SUM(I14:I16)</f>
        <v>#REF!</v>
      </c>
    </row>
    <row r="18" spans="2:9" ht="15" customHeight="1" x14ac:dyDescent="0.2"/>
    <row r="19" spans="2:9" ht="15.6" customHeight="1" x14ac:dyDescent="0.2">
      <c r="B19" s="91" t="s">
        <v>12</v>
      </c>
      <c r="C19" s="91"/>
      <c r="D19" s="91"/>
      <c r="E19" s="91"/>
      <c r="F19" s="91"/>
      <c r="G19" s="91"/>
    </row>
    <row r="20" spans="2:9" ht="14.25" x14ac:dyDescent="0.2"/>
    <row r="21" spans="2:9" ht="18" x14ac:dyDescent="0.2">
      <c r="B21" s="19" t="s">
        <v>19</v>
      </c>
      <c r="E21" s="19" t="s">
        <v>22</v>
      </c>
    </row>
    <row r="22" spans="2:9" ht="18" x14ac:dyDescent="0.2">
      <c r="B22" s="19" t="s">
        <v>18</v>
      </c>
      <c r="E22" s="19" t="s">
        <v>23</v>
      </c>
    </row>
    <row r="23" spans="2:9" ht="18" x14ac:dyDescent="0.2">
      <c r="B23" s="19" t="s">
        <v>17</v>
      </c>
      <c r="E23" s="20">
        <v>260076385001</v>
      </c>
    </row>
    <row r="24" spans="2:9" ht="18" x14ac:dyDescent="0.2">
      <c r="B24" s="19" t="s">
        <v>20</v>
      </c>
      <c r="E24" s="19" t="s">
        <v>24</v>
      </c>
    </row>
    <row r="25" spans="2:9" ht="18" x14ac:dyDescent="0.2">
      <c r="B25" s="19" t="s">
        <v>25</v>
      </c>
      <c r="E25" s="19" t="s">
        <v>26</v>
      </c>
    </row>
    <row r="26" spans="2:9" ht="18" x14ac:dyDescent="0.2">
      <c r="B26" s="19" t="s">
        <v>21</v>
      </c>
      <c r="E26" s="19" t="s">
        <v>27</v>
      </c>
    </row>
    <row r="27" spans="2:9" ht="14.25" x14ac:dyDescent="0.2"/>
    <row r="28" spans="2:9" ht="19.5" customHeight="1" x14ac:dyDescent="0.2">
      <c r="B28" s="11" t="s">
        <v>13</v>
      </c>
      <c r="C28" s="1" t="s">
        <v>15</v>
      </c>
    </row>
    <row r="29" spans="2:9" ht="19.5" customHeight="1" x14ac:dyDescent="0.2">
      <c r="C29" s="1" t="s">
        <v>14</v>
      </c>
    </row>
  </sheetData>
  <mergeCells count="11">
    <mergeCell ref="B5:I5"/>
    <mergeCell ref="B19:G19"/>
    <mergeCell ref="C11:G11"/>
    <mergeCell ref="C7:D7"/>
    <mergeCell ref="B13:F13"/>
    <mergeCell ref="C17:H17"/>
    <mergeCell ref="B14:E14"/>
    <mergeCell ref="B15:E15"/>
    <mergeCell ref="B16:E16"/>
    <mergeCell ref="C9:D9"/>
    <mergeCell ref="C10:I10"/>
  </mergeCells>
  <printOptions horizontalCentered="1"/>
  <pageMargins left="0.25" right="0.25" top="0.75" bottom="0.75" header="0.3" footer="0.3"/>
  <pageSetup paperSize="9" scale="8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6D66-DE69-4DC9-9BB8-CDC0F01A06B5}">
  <sheetPr codeName="Sheet4"/>
  <dimension ref="B4:I24"/>
  <sheetViews>
    <sheetView workbookViewId="0">
      <selection activeCell="B17" sqref="B17:F17"/>
    </sheetView>
  </sheetViews>
  <sheetFormatPr defaultRowHeight="15" x14ac:dyDescent="0.25"/>
  <sheetData>
    <row r="4" spans="2:9" ht="42.75" x14ac:dyDescent="0.25">
      <c r="B4" s="94" t="s">
        <v>2</v>
      </c>
      <c r="C4" s="94"/>
      <c r="D4" s="94"/>
      <c r="E4" s="94"/>
      <c r="F4" s="94"/>
      <c r="G4" s="4" t="s">
        <v>3</v>
      </c>
      <c r="H4" s="4" t="s">
        <v>4</v>
      </c>
      <c r="I4" s="4" t="s">
        <v>5</v>
      </c>
    </row>
    <row r="5" spans="2:9" x14ac:dyDescent="0.25">
      <c r="B5" s="97" t="e">
        <f>VLOOKUP(#REF!,#REF!,3)</f>
        <v>#REF!</v>
      </c>
      <c r="C5" s="98"/>
      <c r="D5" s="98"/>
      <c r="E5" s="98"/>
      <c r="F5" s="17"/>
      <c r="G5" s="10">
        <v>0</v>
      </c>
      <c r="H5" s="10" t="e">
        <f>VLOOKUP(#REF!,#REF!,4)</f>
        <v>#REF!</v>
      </c>
      <c r="I5" s="10" t="e">
        <f>SUM(G5:H5)</f>
        <v>#REF!</v>
      </c>
    </row>
    <row r="6" spans="2:9" x14ac:dyDescent="0.25">
      <c r="B6" s="99"/>
      <c r="C6" s="100"/>
      <c r="D6" s="100"/>
      <c r="E6" s="100"/>
      <c r="F6" s="18"/>
      <c r="G6" s="21"/>
      <c r="H6" s="21"/>
      <c r="I6" s="10"/>
    </row>
    <row r="7" spans="2:9" x14ac:dyDescent="0.25">
      <c r="B7" s="101"/>
      <c r="C7" s="102"/>
      <c r="D7" s="102"/>
      <c r="E7" s="102"/>
      <c r="F7" s="17"/>
      <c r="G7" s="13"/>
      <c r="H7" s="13"/>
      <c r="I7" s="10"/>
    </row>
    <row r="8" spans="2:9" ht="22.5" x14ac:dyDescent="0.25">
      <c r="B8" s="14" t="s">
        <v>10</v>
      </c>
      <c r="C8" s="95" t="s">
        <v>11</v>
      </c>
      <c r="D8" s="95"/>
      <c r="E8" s="95"/>
      <c r="F8" s="95"/>
      <c r="G8" s="95"/>
      <c r="H8" s="96"/>
      <c r="I8" s="12" t="e">
        <f>SUM(I5:I7)</f>
        <v>#REF!</v>
      </c>
    </row>
    <row r="9" spans="2:9" x14ac:dyDescent="0.25">
      <c r="B9" s="1"/>
      <c r="C9" s="1"/>
      <c r="D9" s="1"/>
      <c r="E9" s="1"/>
      <c r="F9" s="1"/>
      <c r="G9" s="1"/>
      <c r="H9" s="1"/>
      <c r="I9" s="1"/>
    </row>
    <row r="10" spans="2:9" x14ac:dyDescent="0.25">
      <c r="B10" s="91" t="s">
        <v>12</v>
      </c>
      <c r="C10" s="91"/>
      <c r="D10" s="91"/>
      <c r="E10" s="91"/>
      <c r="F10" s="91"/>
      <c r="G10" s="91"/>
      <c r="H10" s="1"/>
      <c r="I10" s="1"/>
    </row>
    <row r="11" spans="2:9" x14ac:dyDescent="0.25">
      <c r="B11" s="1"/>
      <c r="C11" s="1"/>
      <c r="D11" s="1"/>
      <c r="E11" s="1"/>
      <c r="F11" s="1"/>
      <c r="G11" s="1"/>
      <c r="H11" s="1"/>
      <c r="I11" s="1"/>
    </row>
    <row r="12" spans="2:9" ht="18" x14ac:dyDescent="0.25">
      <c r="B12" s="19" t="s">
        <v>19</v>
      </c>
      <c r="C12" s="1"/>
      <c r="D12" s="1"/>
      <c r="E12" s="19" t="s">
        <v>22</v>
      </c>
      <c r="F12" s="1"/>
      <c r="G12" s="1"/>
      <c r="H12" s="1"/>
      <c r="I12" s="1"/>
    </row>
    <row r="13" spans="2:9" ht="18" x14ac:dyDescent="0.25">
      <c r="B13" s="19" t="s">
        <v>18</v>
      </c>
      <c r="C13" s="1"/>
      <c r="D13" s="1"/>
      <c r="E13" s="19" t="s">
        <v>23</v>
      </c>
      <c r="F13" s="1"/>
      <c r="G13" s="1"/>
      <c r="H13" s="1"/>
      <c r="I13" s="1"/>
    </row>
    <row r="14" spans="2:9" ht="18" x14ac:dyDescent="0.25">
      <c r="B14" s="19" t="s">
        <v>17</v>
      </c>
      <c r="C14" s="1"/>
      <c r="D14" s="1"/>
      <c r="E14" s="20">
        <v>260076385001</v>
      </c>
      <c r="F14" s="1"/>
      <c r="G14" s="1"/>
      <c r="H14" s="1"/>
      <c r="I14" s="1"/>
    </row>
    <row r="15" spans="2:9" ht="18" x14ac:dyDescent="0.25">
      <c r="B15" s="19" t="s">
        <v>20</v>
      </c>
      <c r="C15" s="1"/>
      <c r="D15" s="1"/>
      <c r="E15" s="19" t="s">
        <v>24</v>
      </c>
      <c r="F15" s="1"/>
      <c r="G15" s="1"/>
      <c r="H15" s="1"/>
      <c r="I15" s="1"/>
    </row>
    <row r="16" spans="2:9" ht="18" x14ac:dyDescent="0.25">
      <c r="B16" s="19" t="s">
        <v>25</v>
      </c>
      <c r="C16" s="1"/>
      <c r="D16" s="1"/>
      <c r="E16" s="19" t="s">
        <v>26</v>
      </c>
      <c r="F16" s="1"/>
      <c r="G16" s="1"/>
      <c r="H16" s="1"/>
      <c r="I16" s="1"/>
    </row>
    <row r="17" spans="2:9" ht="18" x14ac:dyDescent="0.25">
      <c r="B17" s="19" t="s">
        <v>21</v>
      </c>
      <c r="C17" s="1"/>
      <c r="D17" s="1"/>
      <c r="E17" s="19" t="s">
        <v>27</v>
      </c>
      <c r="F17" s="1"/>
      <c r="G17" s="1"/>
      <c r="H17" s="1"/>
      <c r="I17" s="1"/>
    </row>
    <row r="18" spans="2:9" x14ac:dyDescent="0.25">
      <c r="B18" s="1"/>
      <c r="C18" s="1"/>
      <c r="D18" s="1"/>
      <c r="E18" s="1"/>
      <c r="F18" s="1"/>
      <c r="G18" s="1"/>
      <c r="H18" s="1"/>
      <c r="I18" s="1"/>
    </row>
    <row r="19" spans="2:9" x14ac:dyDescent="0.25">
      <c r="B19" s="11" t="s">
        <v>13</v>
      </c>
      <c r="C19" s="1" t="s">
        <v>15</v>
      </c>
      <c r="D19" s="1"/>
      <c r="E19" s="1"/>
      <c r="F19" s="1"/>
      <c r="G19" s="1"/>
      <c r="H19" s="1"/>
      <c r="I19" s="1"/>
    </row>
    <row r="20" spans="2:9" x14ac:dyDescent="0.25">
      <c r="B20" s="1"/>
      <c r="C20" s="1" t="s">
        <v>14</v>
      </c>
      <c r="D20" s="1"/>
      <c r="E20" s="1"/>
      <c r="F20" s="1"/>
      <c r="G20" s="1"/>
      <c r="H20" s="1"/>
      <c r="I20" s="1"/>
    </row>
    <row r="21" spans="2:9" x14ac:dyDescent="0.25">
      <c r="B21" s="1"/>
      <c r="C21" s="1"/>
      <c r="D21" s="1"/>
      <c r="E21" s="1"/>
      <c r="F21" s="1"/>
      <c r="G21" s="1"/>
      <c r="H21" s="1"/>
      <c r="I21" s="1"/>
    </row>
    <row r="22" spans="2:9" x14ac:dyDescent="0.25">
      <c r="B22" s="1"/>
      <c r="C22" s="1"/>
      <c r="D22" s="1"/>
      <c r="E22" s="1"/>
      <c r="F22" s="1"/>
      <c r="G22" s="1"/>
      <c r="H22" s="1"/>
      <c r="I22" s="1"/>
    </row>
    <row r="23" spans="2:9" x14ac:dyDescent="0.25">
      <c r="B23" s="1"/>
      <c r="C23" s="1"/>
      <c r="D23" s="1"/>
      <c r="E23" s="1"/>
      <c r="F23" s="1"/>
      <c r="G23" s="1"/>
      <c r="H23" s="1"/>
      <c r="I23" s="1"/>
    </row>
    <row r="24" spans="2:9" x14ac:dyDescent="0.25">
      <c r="B24" s="1"/>
      <c r="C24" s="1"/>
      <c r="D24" s="1"/>
      <c r="E24" s="1"/>
      <c r="F24" s="1"/>
      <c r="G24" s="1"/>
      <c r="H24" s="1"/>
      <c r="I24" s="1"/>
    </row>
  </sheetData>
  <mergeCells count="6">
    <mergeCell ref="B10:G10"/>
    <mergeCell ref="B5:E5"/>
    <mergeCell ref="B4:F4"/>
    <mergeCell ref="B6:E6"/>
    <mergeCell ref="B7:E7"/>
    <mergeCell ref="C8:H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Invoice</vt:lpstr>
      <vt:lpstr>RAPID Invoice</vt:lpstr>
      <vt:lpstr>Sheet1</vt:lpstr>
      <vt:lpstr>Sheet4</vt:lpstr>
      <vt:lpstr>Invoice!Print_Area</vt:lpstr>
      <vt:lpstr>'RAPID Invoice'!Print_Area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Aparna;p</dc:creator>
  <cp:lastModifiedBy>Suleiman</cp:lastModifiedBy>
  <cp:lastPrinted>2026-03-10T08:39:20Z</cp:lastPrinted>
  <dcterms:created xsi:type="dcterms:W3CDTF">2025-07-15T09:39:36Z</dcterms:created>
  <dcterms:modified xsi:type="dcterms:W3CDTF">2026-03-10T08:39:30Z</dcterms:modified>
</cp:coreProperties>
</file>